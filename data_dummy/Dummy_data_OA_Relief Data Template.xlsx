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4"/>
    <sheet state="visible" name="Validation_Rules" sheetId="2" r:id="rId5"/>
    <sheet state="visible" name="Sites" sheetId="3" r:id="rId6"/>
    <sheet state="visible" name="Relief" sheetId="4" r:id="rId7"/>
  </sheets>
  <definedNames/>
  <calcPr/>
</workbook>
</file>

<file path=xl/sharedStrings.xml><?xml version="1.0" encoding="utf-8"?>
<sst xmlns="http://schemas.openxmlformats.org/spreadsheetml/2006/main" count="384" uniqueCount="90">
  <si>
    <t>The validation rules in this workbook guide the proper entry of field data for ocean accounting opening and closing periods. These rules ensure that all information is entered accurately, consistently, and in a format that supports standardized reporting. Users must follow these rules to maintain data quality, improve reliability of analyses, and support comparability, integration across sites, timelines, and national ocean accounting cycles.
All data entered into this template should reflect raw observations collected in the field. Do not clean, average, adjust, interpret, or transform values before entering them. This template serves as the first step in the ocean accounting process, where raw ecological observations are digitized and stored in a structured format for further processing, quality assurance, and analysis.</t>
  </si>
  <si>
    <t xml:space="preserve">This template should only be used to input raw data that is being digitized for field data collection from its rightful data generator. </t>
  </si>
  <si>
    <t xml:space="preserve">What this worbook contains: </t>
  </si>
  <si>
    <t>1. A validation rules and definition guidelines defining whaqt each field represents and the type of information it must contain</t>
  </si>
  <si>
    <t xml:space="preserve">2. A metadata entry sheet for all surveys conducted </t>
  </si>
  <si>
    <t>3. A coral data template using the belt transect method</t>
  </si>
  <si>
    <t xml:space="preserve">How to use this template: </t>
  </si>
  <si>
    <t>✔ Enter data only in the designated inputr cells</t>
  </si>
  <si>
    <t>✔ Follow the required formats for dates, coordinates, numbers and categorical inputs</t>
  </si>
  <si>
    <r>
      <rPr>
        <rFont val="Arial"/>
        <color theme="1"/>
      </rPr>
      <t xml:space="preserve">✔ refer to the </t>
    </r>
    <r>
      <rPr>
        <rFont val="Arial"/>
        <b/>
        <i/>
        <color theme="1"/>
      </rPr>
      <t xml:space="preserve">Validation Rules </t>
    </r>
    <r>
      <rPr>
        <rFont val="Arial"/>
        <color theme="1"/>
      </rPr>
      <t>sheet for definitions and acceptable inputs</t>
    </r>
  </si>
  <si>
    <t xml:space="preserve"> </t>
  </si>
  <si>
    <t>Sheet</t>
  </si>
  <si>
    <t>Field</t>
  </si>
  <si>
    <t>Type</t>
  </si>
  <si>
    <t>Description</t>
  </si>
  <si>
    <t>Allowed Values / Rules</t>
  </si>
  <si>
    <t>Site</t>
  </si>
  <si>
    <t>EA_Period</t>
  </si>
  <si>
    <t>Character</t>
  </si>
  <si>
    <t>Accounting period during which the survey takes place; must match the official SEEA EA reporting cycle</t>
  </si>
  <si>
    <t>Opening / Closing</t>
  </si>
  <si>
    <t>EAA_Code</t>
  </si>
  <si>
    <t>Code assigned to the Ecosystem Accounting Area</t>
  </si>
  <si>
    <t>EAA-1, EAA-2, EAA-3, EAA-4, EAA-5</t>
  </si>
  <si>
    <t xml:space="preserve">Site </t>
  </si>
  <si>
    <t>Unique site identifier; no duplicates</t>
  </si>
  <si>
    <t>-</t>
  </si>
  <si>
    <t>Site, Rugosity</t>
  </si>
  <si>
    <t>Transect</t>
  </si>
  <si>
    <t>Unique transect identifier; consistent across all survey sheets</t>
  </si>
  <si>
    <t>Date</t>
  </si>
  <si>
    <t>International Organization for Standardization format</t>
  </si>
  <si>
    <t>YYYY-MM-DD</t>
  </si>
  <si>
    <t>Time</t>
  </si>
  <si>
    <t>Time of survey observation</t>
  </si>
  <si>
    <t>HH:MM (24-hour format)</t>
  </si>
  <si>
    <t>Depth</t>
  </si>
  <si>
    <t>Numeric</t>
  </si>
  <si>
    <t>Depth from sea surface to seafloor at genral site in feet</t>
  </si>
  <si>
    <t>0-65 ft</t>
  </si>
  <si>
    <t>Rugosity</t>
  </si>
  <si>
    <t>Temp</t>
  </si>
  <si>
    <t>The measure of hoptness or coldness at the time of survey (air or water) in farenheight</t>
  </si>
  <si>
    <t>0-95 ⁰F</t>
  </si>
  <si>
    <t>Latitude</t>
  </si>
  <si>
    <t>Relative position north–south of the equator (x-axis)</t>
  </si>
  <si>
    <t>15 to 18 (°N); 5 Numeric places</t>
  </si>
  <si>
    <t>Longitude</t>
  </si>
  <si>
    <t>Relative position east–west of the Prime Meridian (y-axis)</t>
  </si>
  <si>
    <t>-89 to -87 (°W); 5 Numeric places</t>
  </si>
  <si>
    <t>MPA_Management</t>
  </si>
  <si>
    <t>Marine Protected Area in which the site is located</t>
  </si>
  <si>
    <t>None, BCCMR, HCMR, CCMR, TAMR, GRMR, SWCMR, GSSCMR, LBCMR, SCMR, PHMR, HMCNM</t>
  </si>
  <si>
    <t>Management_Zone</t>
  </si>
  <si>
    <t>Entity responsible for managing the MPA</t>
  </si>
  <si>
    <t>Full organization name</t>
  </si>
  <si>
    <t>Protection_Status</t>
  </si>
  <si>
    <t>Level of protection governing the site</t>
  </si>
  <si>
    <t>No-take, Conservation, General Use, Unknown</t>
  </si>
  <si>
    <t>Reef_Zone</t>
  </si>
  <si>
    <t>Ecological zonation of the reef determined by abiotic factors</t>
  </si>
  <si>
    <t>BR, DFR, SFR</t>
  </si>
  <si>
    <t>Reef_Type</t>
  </si>
  <si>
    <t>Geomorphological classification of the reef</t>
  </si>
  <si>
    <t>Fringing, Barrier, Atoll, Patch</t>
  </si>
  <si>
    <t>Visibility</t>
  </si>
  <si>
    <t>Horizontal underwater visibility at time of survey in feet</t>
  </si>
  <si>
    <t>0-50 ft</t>
  </si>
  <si>
    <t>Weather</t>
  </si>
  <si>
    <t>Atmospheric conditions at time of survey</t>
  </si>
  <si>
    <t>Sunny, Partly Cloudy, Overcast, Windy, Rain, Storm</t>
  </si>
  <si>
    <t>Collector</t>
  </si>
  <si>
    <t>Name of qualified individual conducting survey</t>
  </si>
  <si>
    <t>First two letsers of first name + first two letters of last name</t>
  </si>
  <si>
    <t>Start_Depth</t>
  </si>
  <si>
    <t>Depth at the start of the transect in feet</t>
  </si>
  <si>
    <t>End_Depth</t>
  </si>
  <si>
    <t xml:space="preserve">Depth at the end of the transect in feet </t>
  </si>
  <si>
    <t>Notes</t>
  </si>
  <si>
    <t>Any relevant observations for conCharacter</t>
  </si>
  <si>
    <t>Any string of characters</t>
  </si>
  <si>
    <t>Reef Type</t>
  </si>
  <si>
    <t xml:space="preserve">Date </t>
  </si>
  <si>
    <t>Max_Relief</t>
  </si>
  <si>
    <t>Opening</t>
  </si>
  <si>
    <t>SPR03</t>
  </si>
  <si>
    <t>Sunny</t>
  </si>
  <si>
    <t>NANA</t>
  </si>
  <si>
    <t>SPR30</t>
  </si>
  <si>
    <t>SPR04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</si>
</sst>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m-dd"/>
  </numFmts>
  <fonts count="7">
    <font>
      <sz val="10.0"/>
      <color rgb="FF000000"/>
      <name val="Arial"/>
      <scheme val="minor"/>
    </font>
    <font>
      <sz val="10.0"/>
      <color theme="1"/>
      <name val="Arial"/>
      <scheme val="minor"/>
    </font>
    <font>
      <color theme="1"/>
      <name val="Arial"/>
      <scheme val="minor"/>
    </font>
    <font>
      <b/>
      <color theme="1"/>
      <name val="Arial"/>
      <scheme val="minor"/>
    </font>
    <font>
      <color theme="1"/>
      <name val="Arial"/>
    </font>
    <font>
      <sz val="11.0"/>
      <color theme="1"/>
      <name val="Calibri"/>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readingOrder="0"/>
    </xf>
    <xf borderId="0" fillId="0" fontId="3" numFmtId="0" xfId="0" applyAlignment="1" applyFont="1">
      <alignment horizontal="left" readingOrder="0"/>
    </xf>
    <xf borderId="0" fillId="0" fontId="3" numFmtId="0" xfId="0" applyAlignment="1" applyFont="1">
      <alignment horizontal="center" readingOrder="0"/>
    </xf>
    <xf borderId="0" fillId="0" fontId="4" numFmtId="0" xfId="0" applyAlignment="1" applyFont="1">
      <alignment vertical="bottom"/>
    </xf>
    <xf borderId="0" fillId="0" fontId="2" numFmtId="164" xfId="0" applyAlignment="1" applyFont="1" applyNumberFormat="1">
      <alignment horizontal="left" readingOrder="0"/>
    </xf>
    <xf borderId="0" fillId="0" fontId="2" numFmtId="0" xfId="0" applyFont="1"/>
    <xf borderId="0" fillId="0" fontId="4" numFmtId="0" xfId="0" applyAlignment="1" applyFont="1">
      <alignment readingOrder="0" vertical="bottom"/>
    </xf>
    <xf borderId="0" fillId="0" fontId="4" numFmtId="165" xfId="0" applyAlignment="1" applyFont="1" applyNumberFormat="1">
      <alignment horizontal="right" vertical="bottom"/>
    </xf>
    <xf borderId="0" fillId="0" fontId="4" numFmtId="0" xfId="0" applyAlignment="1" applyFont="1">
      <alignment vertical="bottom"/>
    </xf>
    <xf borderId="0" fillId="0" fontId="5" numFmtId="0" xfId="0" applyAlignment="1" applyFont="1">
      <alignment vertical="bottom"/>
    </xf>
    <xf borderId="0" fillId="0" fontId="4" numFmtId="0" xfId="0" applyAlignment="1" applyFont="1">
      <alignment horizontal="right" vertical="bottom"/>
    </xf>
    <xf borderId="0" fillId="0" fontId="2" numFmtId="1" xfId="0" applyAlignment="1" applyFont="1" applyNumberFormat="1">
      <alignment readingOrder="0"/>
    </xf>
    <xf borderId="0" fillId="0" fontId="6" numFmtId="0" xfId="0" applyAlignment="1" applyFont="1">
      <alignment horizontal="right" readingOrder="0" shrinkToFit="0" vertical="bottom" wrapText="0"/>
    </xf>
    <xf borderId="0" fillId="0" fontId="5"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4886325" cy="2314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6.25"/>
    <col customWidth="1" min="2" max="2" width="93.13"/>
    <col customWidth="1" min="3" max="3" width="83.38"/>
  </cols>
  <sheetData>
    <row r="1" ht="183.0" customHeight="1">
      <c r="A1" s="1"/>
      <c r="B1" s="1"/>
      <c r="C1" s="1"/>
    </row>
    <row r="2">
      <c r="B2" s="2" t="s">
        <v>0</v>
      </c>
    </row>
    <row r="4">
      <c r="B4" s="3" t="s">
        <v>1</v>
      </c>
    </row>
    <row r="6">
      <c r="B6" s="4" t="s">
        <v>2</v>
      </c>
    </row>
    <row r="7">
      <c r="B7" s="4" t="s">
        <v>3</v>
      </c>
    </row>
    <row r="8">
      <c r="B8" s="4" t="s">
        <v>4</v>
      </c>
    </row>
    <row r="9">
      <c r="B9" s="4" t="s">
        <v>5</v>
      </c>
    </row>
    <row r="11">
      <c r="B11" s="4" t="s">
        <v>6</v>
      </c>
    </row>
    <row r="12">
      <c r="B12" s="4" t="s">
        <v>7</v>
      </c>
    </row>
    <row r="13">
      <c r="B13" s="4" t="s">
        <v>8</v>
      </c>
    </row>
    <row r="14">
      <c r="B14" s="4" t="s">
        <v>9</v>
      </c>
    </row>
    <row r="15">
      <c r="B15" s="4" t="s">
        <v>10</v>
      </c>
    </row>
    <row r="17">
      <c r="D17" s="4" t="s">
        <v>10</v>
      </c>
    </row>
  </sheetData>
  <mergeCells count="3">
    <mergeCell ref="A1:A21"/>
    <mergeCell ref="C1:C21"/>
    <mergeCell ref="B15:B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16.13"/>
    <col customWidth="1" min="4" max="4" width="77.63"/>
    <col customWidth="1" min="5" max="5" width="82.38"/>
  </cols>
  <sheetData>
    <row r="1">
      <c r="A1" s="5" t="s">
        <v>11</v>
      </c>
      <c r="B1" s="5" t="s">
        <v>12</v>
      </c>
      <c r="C1" s="5" t="s">
        <v>13</v>
      </c>
      <c r="D1" s="6" t="s">
        <v>14</v>
      </c>
      <c r="E1" s="5" t="s">
        <v>15</v>
      </c>
    </row>
    <row r="2">
      <c r="A2" s="4" t="s">
        <v>16</v>
      </c>
      <c r="B2" s="7" t="s">
        <v>17</v>
      </c>
      <c r="C2" s="4" t="s">
        <v>18</v>
      </c>
      <c r="D2" s="4" t="s">
        <v>19</v>
      </c>
      <c r="E2" s="4" t="s">
        <v>20</v>
      </c>
    </row>
    <row r="3">
      <c r="A3" s="4" t="s">
        <v>16</v>
      </c>
      <c r="B3" s="7" t="s">
        <v>21</v>
      </c>
      <c r="C3" s="4" t="s">
        <v>18</v>
      </c>
      <c r="D3" s="4" t="s">
        <v>22</v>
      </c>
      <c r="E3" s="4" t="s">
        <v>23</v>
      </c>
    </row>
    <row r="4">
      <c r="A4" s="4" t="s">
        <v>16</v>
      </c>
      <c r="B4" s="7" t="s">
        <v>24</v>
      </c>
      <c r="C4" s="4" t="s">
        <v>18</v>
      </c>
      <c r="D4" s="4" t="s">
        <v>25</v>
      </c>
      <c r="E4" s="4" t="s">
        <v>26</v>
      </c>
    </row>
    <row r="5">
      <c r="A5" s="4" t="s">
        <v>27</v>
      </c>
      <c r="B5" s="4" t="s">
        <v>28</v>
      </c>
      <c r="C5" s="4" t="s">
        <v>18</v>
      </c>
      <c r="D5" s="4" t="s">
        <v>29</v>
      </c>
      <c r="E5" s="8">
        <v>45663.0</v>
      </c>
    </row>
    <row r="6">
      <c r="A6" s="4" t="s">
        <v>27</v>
      </c>
      <c r="B6" s="4" t="s">
        <v>30</v>
      </c>
      <c r="C6" s="4" t="s">
        <v>30</v>
      </c>
      <c r="D6" s="4" t="s">
        <v>31</v>
      </c>
      <c r="E6" s="4" t="s">
        <v>32</v>
      </c>
    </row>
    <row r="7">
      <c r="A7" s="4" t="s">
        <v>27</v>
      </c>
      <c r="B7" s="4" t="s">
        <v>33</v>
      </c>
      <c r="C7" s="4" t="s">
        <v>33</v>
      </c>
      <c r="D7" s="4" t="s">
        <v>34</v>
      </c>
      <c r="E7" s="4" t="s">
        <v>35</v>
      </c>
    </row>
    <row r="8">
      <c r="A8" s="4" t="s">
        <v>16</v>
      </c>
      <c r="B8" s="4" t="s">
        <v>36</v>
      </c>
      <c r="C8" s="4" t="s">
        <v>37</v>
      </c>
      <c r="D8" s="4" t="s">
        <v>38</v>
      </c>
      <c r="E8" s="4" t="s">
        <v>39</v>
      </c>
    </row>
    <row r="9" ht="15.75" customHeight="1">
      <c r="A9" s="4" t="s">
        <v>40</v>
      </c>
      <c r="B9" s="4" t="s">
        <v>41</v>
      </c>
      <c r="C9" s="4" t="s">
        <v>37</v>
      </c>
      <c r="D9" s="4" t="s">
        <v>42</v>
      </c>
      <c r="E9" s="4" t="s">
        <v>43</v>
      </c>
    </row>
    <row r="10">
      <c r="A10" s="4" t="s">
        <v>16</v>
      </c>
      <c r="B10" s="4" t="s">
        <v>44</v>
      </c>
      <c r="C10" s="4" t="s">
        <v>37</v>
      </c>
      <c r="D10" s="4" t="s">
        <v>45</v>
      </c>
      <c r="E10" s="4" t="s">
        <v>46</v>
      </c>
    </row>
    <row r="11">
      <c r="A11" s="4" t="s">
        <v>16</v>
      </c>
      <c r="B11" s="4" t="s">
        <v>47</v>
      </c>
      <c r="C11" s="4" t="s">
        <v>37</v>
      </c>
      <c r="D11" s="4" t="s">
        <v>48</v>
      </c>
      <c r="E11" s="4" t="s">
        <v>49</v>
      </c>
    </row>
    <row r="12">
      <c r="A12" s="4" t="s">
        <v>16</v>
      </c>
      <c r="B12" s="7" t="s">
        <v>50</v>
      </c>
      <c r="C12" s="4" t="s">
        <v>18</v>
      </c>
      <c r="D12" s="4" t="s">
        <v>51</v>
      </c>
      <c r="E12" s="4" t="s">
        <v>52</v>
      </c>
    </row>
    <row r="13">
      <c r="A13" s="4" t="s">
        <v>16</v>
      </c>
      <c r="B13" s="7" t="s">
        <v>53</v>
      </c>
      <c r="C13" s="4" t="s">
        <v>18</v>
      </c>
      <c r="D13" s="4" t="s">
        <v>54</v>
      </c>
      <c r="E13" s="4" t="s">
        <v>55</v>
      </c>
    </row>
    <row r="14">
      <c r="A14" s="4" t="s">
        <v>16</v>
      </c>
      <c r="B14" s="7" t="s">
        <v>56</v>
      </c>
      <c r="C14" s="4" t="s">
        <v>18</v>
      </c>
      <c r="D14" s="4" t="s">
        <v>57</v>
      </c>
      <c r="E14" s="4" t="s">
        <v>58</v>
      </c>
    </row>
    <row r="15">
      <c r="A15" s="4" t="s">
        <v>16</v>
      </c>
      <c r="B15" s="7" t="s">
        <v>59</v>
      </c>
      <c r="C15" s="4" t="s">
        <v>18</v>
      </c>
      <c r="D15" s="4" t="s">
        <v>60</v>
      </c>
      <c r="E15" s="4" t="s">
        <v>61</v>
      </c>
    </row>
    <row r="16">
      <c r="A16" s="4" t="s">
        <v>16</v>
      </c>
      <c r="B16" s="7" t="s">
        <v>62</v>
      </c>
      <c r="C16" s="4" t="s">
        <v>18</v>
      </c>
      <c r="D16" s="4" t="s">
        <v>63</v>
      </c>
      <c r="E16" s="4" t="s">
        <v>64</v>
      </c>
    </row>
    <row r="17">
      <c r="A17" s="4" t="s">
        <v>40</v>
      </c>
      <c r="B17" s="4" t="s">
        <v>65</v>
      </c>
      <c r="C17" s="4" t="s">
        <v>37</v>
      </c>
      <c r="D17" s="4" t="s">
        <v>66</v>
      </c>
      <c r="E17" s="4" t="s">
        <v>67</v>
      </c>
    </row>
    <row r="18">
      <c r="A18" s="4" t="s">
        <v>40</v>
      </c>
      <c r="B18" s="4" t="s">
        <v>68</v>
      </c>
      <c r="C18" s="4" t="s">
        <v>18</v>
      </c>
      <c r="D18" s="4" t="s">
        <v>69</v>
      </c>
      <c r="E18" s="4" t="s">
        <v>70</v>
      </c>
    </row>
    <row r="19">
      <c r="A19" s="4" t="s">
        <v>40</v>
      </c>
      <c r="B19" s="4" t="s">
        <v>71</v>
      </c>
      <c r="C19" s="4" t="s">
        <v>18</v>
      </c>
      <c r="D19" s="4" t="s">
        <v>72</v>
      </c>
      <c r="E19" s="4" t="s">
        <v>73</v>
      </c>
    </row>
    <row r="20">
      <c r="A20" s="4" t="s">
        <v>40</v>
      </c>
      <c r="B20" s="4" t="s">
        <v>74</v>
      </c>
      <c r="C20" s="4" t="s">
        <v>37</v>
      </c>
      <c r="D20" s="4" t="s">
        <v>75</v>
      </c>
      <c r="E20" s="4" t="s">
        <v>39</v>
      </c>
    </row>
    <row r="21">
      <c r="A21" s="4" t="s">
        <v>40</v>
      </c>
      <c r="B21" s="4" t="s">
        <v>76</v>
      </c>
      <c r="C21" s="4" t="s">
        <v>37</v>
      </c>
      <c r="D21" s="4" t="s">
        <v>77</v>
      </c>
      <c r="E21" s="4" t="s">
        <v>39</v>
      </c>
    </row>
    <row r="22">
      <c r="A22" s="4" t="s">
        <v>27</v>
      </c>
      <c r="B22" s="4" t="s">
        <v>78</v>
      </c>
      <c r="C22" s="4" t="s">
        <v>18</v>
      </c>
      <c r="D22" s="4" t="s">
        <v>79</v>
      </c>
      <c r="E22" s="4" t="s">
        <v>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2.63"/>
    <col customWidth="1" min="6" max="6" width="15.13"/>
    <col customWidth="1" min="7" max="7" width="15.5"/>
    <col customWidth="1" min="8" max="8" width="14.13"/>
    <col customWidth="1" min="9" max="11" width="12.63"/>
    <col customWidth="1" min="12" max="12" width="13.75"/>
    <col customWidth="1" min="13" max="17" width="12.63"/>
  </cols>
  <sheetData>
    <row r="1">
      <c r="A1" s="4" t="s">
        <v>21</v>
      </c>
      <c r="B1" s="4" t="s">
        <v>16</v>
      </c>
      <c r="C1" s="4" t="s">
        <v>36</v>
      </c>
      <c r="D1" s="4" t="s">
        <v>44</v>
      </c>
      <c r="E1" s="4" t="s">
        <v>47</v>
      </c>
      <c r="F1" s="4" t="s">
        <v>50</v>
      </c>
      <c r="G1" s="4" t="s">
        <v>53</v>
      </c>
      <c r="H1" s="4" t="s">
        <v>56</v>
      </c>
      <c r="I1" s="4" t="s">
        <v>59</v>
      </c>
      <c r="J1" s="9" t="s">
        <v>81</v>
      </c>
      <c r="K1" s="9" t="s">
        <v>78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5" max="8" width="13.0"/>
    <col customWidth="1" min="10" max="10" width="12.63"/>
  </cols>
  <sheetData>
    <row r="1">
      <c r="A1" s="7" t="s">
        <v>82</v>
      </c>
      <c r="B1" s="10" t="s">
        <v>17</v>
      </c>
      <c r="C1" s="10" t="s">
        <v>16</v>
      </c>
      <c r="D1" s="10" t="s">
        <v>28</v>
      </c>
      <c r="E1" s="10" t="s">
        <v>41</v>
      </c>
      <c r="F1" s="10" t="s">
        <v>65</v>
      </c>
      <c r="G1" s="7" t="s">
        <v>68</v>
      </c>
      <c r="H1" s="4" t="s">
        <v>74</v>
      </c>
      <c r="I1" s="4" t="s">
        <v>76</v>
      </c>
      <c r="J1" s="4" t="s">
        <v>83</v>
      </c>
      <c r="K1" s="4" t="s">
        <v>71</v>
      </c>
      <c r="L1" s="4" t="s">
        <v>78</v>
      </c>
      <c r="M1" s="4"/>
      <c r="N1" s="4"/>
      <c r="O1" s="4"/>
      <c r="P1" s="4"/>
    </row>
    <row r="2">
      <c r="A2" s="11">
        <v>45821.0</v>
      </c>
      <c r="B2" s="12" t="s">
        <v>84</v>
      </c>
      <c r="C2" s="13" t="s">
        <v>85</v>
      </c>
      <c r="D2" s="4">
        <v>1.0</v>
      </c>
      <c r="E2" s="4">
        <v>84.0</v>
      </c>
      <c r="F2" s="14">
        <v>27.0</v>
      </c>
      <c r="G2" s="12" t="s">
        <v>86</v>
      </c>
      <c r="H2" s="4">
        <v>33.0</v>
      </c>
      <c r="I2" s="4">
        <v>38.0</v>
      </c>
      <c r="J2" s="9">
        <f t="shared" ref="J2:J61" si="1">RANDBETWEEN(0,100)</f>
        <v>36</v>
      </c>
      <c r="K2" s="4" t="s">
        <v>87</v>
      </c>
    </row>
    <row r="3">
      <c r="A3" s="11">
        <v>45821.0</v>
      </c>
      <c r="B3" s="12" t="s">
        <v>84</v>
      </c>
      <c r="C3" s="13" t="s">
        <v>85</v>
      </c>
      <c r="D3" s="4">
        <v>1.0</v>
      </c>
      <c r="E3" s="4">
        <v>84.0</v>
      </c>
      <c r="F3" s="14">
        <v>27.0</v>
      </c>
      <c r="G3" s="12" t="s">
        <v>86</v>
      </c>
      <c r="H3" s="4">
        <v>33.0</v>
      </c>
      <c r="I3" s="4">
        <v>38.0</v>
      </c>
      <c r="J3" s="9">
        <f t="shared" si="1"/>
        <v>89</v>
      </c>
      <c r="K3" s="4" t="s">
        <v>87</v>
      </c>
    </row>
    <row r="4">
      <c r="A4" s="11">
        <v>45821.0</v>
      </c>
      <c r="B4" s="12" t="s">
        <v>84</v>
      </c>
      <c r="C4" s="13" t="s">
        <v>85</v>
      </c>
      <c r="D4" s="4">
        <v>1.0</v>
      </c>
      <c r="E4" s="4">
        <v>84.0</v>
      </c>
      <c r="F4" s="14">
        <v>27.0</v>
      </c>
      <c r="G4" s="12" t="s">
        <v>86</v>
      </c>
      <c r="H4" s="4">
        <v>33.0</v>
      </c>
      <c r="I4" s="4">
        <v>38.0</v>
      </c>
      <c r="J4" s="9">
        <f t="shared" si="1"/>
        <v>80</v>
      </c>
      <c r="K4" s="4" t="s">
        <v>87</v>
      </c>
    </row>
    <row r="5">
      <c r="A5" s="11">
        <v>45821.0</v>
      </c>
      <c r="B5" s="12" t="s">
        <v>84</v>
      </c>
      <c r="C5" s="13" t="s">
        <v>85</v>
      </c>
      <c r="D5" s="4">
        <v>1.0</v>
      </c>
      <c r="E5" s="4">
        <v>84.0</v>
      </c>
      <c r="F5" s="14">
        <v>27.0</v>
      </c>
      <c r="G5" s="12" t="s">
        <v>86</v>
      </c>
      <c r="H5" s="4">
        <v>33.0</v>
      </c>
      <c r="I5" s="4">
        <v>38.0</v>
      </c>
      <c r="J5" s="9">
        <f t="shared" si="1"/>
        <v>79</v>
      </c>
      <c r="K5" s="4" t="s">
        <v>87</v>
      </c>
    </row>
    <row r="6">
      <c r="A6" s="11">
        <v>45821.0</v>
      </c>
      <c r="B6" s="12" t="s">
        <v>84</v>
      </c>
      <c r="C6" s="13" t="s">
        <v>85</v>
      </c>
      <c r="D6" s="4">
        <v>1.0</v>
      </c>
      <c r="E6" s="4">
        <v>84.0</v>
      </c>
      <c r="F6" s="14">
        <v>27.0</v>
      </c>
      <c r="G6" s="12" t="s">
        <v>86</v>
      </c>
      <c r="H6" s="4">
        <v>33.0</v>
      </c>
      <c r="I6" s="4">
        <v>38.0</v>
      </c>
      <c r="J6" s="9">
        <f t="shared" si="1"/>
        <v>30</v>
      </c>
      <c r="K6" s="4" t="s">
        <v>87</v>
      </c>
    </row>
    <row r="7">
      <c r="A7" s="11">
        <v>45821.0</v>
      </c>
      <c r="B7" s="12" t="s">
        <v>84</v>
      </c>
      <c r="C7" s="13" t="s">
        <v>85</v>
      </c>
      <c r="D7" s="4">
        <v>1.0</v>
      </c>
      <c r="E7" s="4">
        <v>84.0</v>
      </c>
      <c r="F7" s="14">
        <v>27.0</v>
      </c>
      <c r="G7" s="12" t="s">
        <v>86</v>
      </c>
      <c r="H7" s="4">
        <v>33.0</v>
      </c>
      <c r="I7" s="4">
        <v>38.0</v>
      </c>
      <c r="J7" s="9">
        <f t="shared" si="1"/>
        <v>80</v>
      </c>
      <c r="K7" s="4" t="s">
        <v>87</v>
      </c>
    </row>
    <row r="8">
      <c r="A8" s="11">
        <v>45821.0</v>
      </c>
      <c r="B8" s="12" t="s">
        <v>84</v>
      </c>
      <c r="C8" s="13" t="s">
        <v>85</v>
      </c>
      <c r="D8" s="4">
        <v>2.0</v>
      </c>
      <c r="E8" s="4">
        <v>84.0</v>
      </c>
      <c r="F8" s="14">
        <v>27.0</v>
      </c>
      <c r="G8" s="12" t="s">
        <v>86</v>
      </c>
      <c r="H8" s="4">
        <v>36.0</v>
      </c>
      <c r="I8" s="4">
        <v>40.0</v>
      </c>
      <c r="J8" s="9">
        <f t="shared" si="1"/>
        <v>29</v>
      </c>
      <c r="K8" s="4" t="s">
        <v>87</v>
      </c>
    </row>
    <row r="9">
      <c r="A9" s="11">
        <v>45821.0</v>
      </c>
      <c r="B9" s="12" t="s">
        <v>84</v>
      </c>
      <c r="C9" s="13" t="s">
        <v>85</v>
      </c>
      <c r="D9" s="4">
        <v>2.0</v>
      </c>
      <c r="E9" s="4">
        <v>84.0</v>
      </c>
      <c r="F9" s="14">
        <v>27.0</v>
      </c>
      <c r="G9" s="12" t="s">
        <v>86</v>
      </c>
      <c r="H9" s="4">
        <v>36.0</v>
      </c>
      <c r="I9" s="4">
        <v>40.0</v>
      </c>
      <c r="J9" s="9">
        <f t="shared" si="1"/>
        <v>70</v>
      </c>
      <c r="K9" s="4" t="s">
        <v>87</v>
      </c>
    </row>
    <row r="10">
      <c r="A10" s="11">
        <v>45821.0</v>
      </c>
      <c r="B10" s="12" t="s">
        <v>84</v>
      </c>
      <c r="C10" s="13" t="s">
        <v>85</v>
      </c>
      <c r="D10" s="4">
        <v>2.0</v>
      </c>
      <c r="E10" s="4">
        <v>84.0</v>
      </c>
      <c r="F10" s="14">
        <v>27.0</v>
      </c>
      <c r="G10" s="12" t="s">
        <v>86</v>
      </c>
      <c r="H10" s="4">
        <v>36.0</v>
      </c>
      <c r="I10" s="4">
        <v>40.0</v>
      </c>
      <c r="J10" s="9">
        <f t="shared" si="1"/>
        <v>64</v>
      </c>
      <c r="K10" s="4" t="s">
        <v>87</v>
      </c>
    </row>
    <row r="11">
      <c r="A11" s="11">
        <v>45821.0</v>
      </c>
      <c r="B11" s="12" t="s">
        <v>84</v>
      </c>
      <c r="C11" s="13" t="s">
        <v>85</v>
      </c>
      <c r="D11" s="4">
        <v>2.0</v>
      </c>
      <c r="E11" s="4">
        <v>84.0</v>
      </c>
      <c r="F11" s="14">
        <v>27.0</v>
      </c>
      <c r="G11" s="12" t="s">
        <v>86</v>
      </c>
      <c r="H11" s="4">
        <v>36.0</v>
      </c>
      <c r="I11" s="4">
        <v>40.0</v>
      </c>
      <c r="J11" s="9">
        <f t="shared" si="1"/>
        <v>100</v>
      </c>
      <c r="K11" s="4" t="s">
        <v>87</v>
      </c>
    </row>
    <row r="12">
      <c r="A12" s="11">
        <v>45821.0</v>
      </c>
      <c r="B12" s="12" t="s">
        <v>84</v>
      </c>
      <c r="C12" s="13" t="s">
        <v>85</v>
      </c>
      <c r="D12" s="4">
        <v>2.0</v>
      </c>
      <c r="E12" s="4">
        <v>84.0</v>
      </c>
      <c r="F12" s="14">
        <v>27.0</v>
      </c>
      <c r="G12" s="12" t="s">
        <v>86</v>
      </c>
      <c r="H12" s="4">
        <v>36.0</v>
      </c>
      <c r="I12" s="4">
        <v>40.0</v>
      </c>
      <c r="J12" s="9">
        <f t="shared" si="1"/>
        <v>86</v>
      </c>
      <c r="K12" s="4" t="s">
        <v>87</v>
      </c>
    </row>
    <row r="13">
      <c r="A13" s="11">
        <v>45821.0</v>
      </c>
      <c r="B13" s="12" t="s">
        <v>84</v>
      </c>
      <c r="C13" s="13" t="s">
        <v>85</v>
      </c>
      <c r="D13" s="4">
        <v>2.0</v>
      </c>
      <c r="E13" s="4">
        <v>84.0</v>
      </c>
      <c r="F13" s="14">
        <v>27.0</v>
      </c>
      <c r="G13" s="12" t="s">
        <v>86</v>
      </c>
      <c r="H13" s="4">
        <v>36.0</v>
      </c>
      <c r="I13" s="4">
        <v>40.0</v>
      </c>
      <c r="J13" s="9">
        <f t="shared" si="1"/>
        <v>54</v>
      </c>
      <c r="K13" s="4" t="s">
        <v>87</v>
      </c>
    </row>
    <row r="14">
      <c r="A14" s="11">
        <v>45821.0</v>
      </c>
      <c r="B14" s="12" t="s">
        <v>84</v>
      </c>
      <c r="C14" s="13" t="s">
        <v>85</v>
      </c>
      <c r="D14" s="4">
        <v>3.0</v>
      </c>
      <c r="E14" s="4">
        <v>84.0</v>
      </c>
      <c r="F14" s="14">
        <v>27.0</v>
      </c>
      <c r="G14" s="12" t="s">
        <v>86</v>
      </c>
      <c r="H14" s="4">
        <v>34.0</v>
      </c>
      <c r="I14" s="4">
        <v>34.0</v>
      </c>
      <c r="J14" s="9">
        <f t="shared" si="1"/>
        <v>2</v>
      </c>
      <c r="K14" s="4" t="s">
        <v>87</v>
      </c>
    </row>
    <row r="15">
      <c r="A15" s="11">
        <v>45821.0</v>
      </c>
      <c r="B15" s="12" t="s">
        <v>84</v>
      </c>
      <c r="C15" s="13" t="s">
        <v>85</v>
      </c>
      <c r="D15" s="4">
        <v>3.0</v>
      </c>
      <c r="E15" s="4">
        <v>84.0</v>
      </c>
      <c r="F15" s="14">
        <v>27.0</v>
      </c>
      <c r="G15" s="12" t="s">
        <v>86</v>
      </c>
      <c r="H15" s="4">
        <v>34.0</v>
      </c>
      <c r="I15" s="4">
        <v>34.0</v>
      </c>
      <c r="J15" s="9">
        <f t="shared" si="1"/>
        <v>79</v>
      </c>
      <c r="K15" s="4" t="s">
        <v>87</v>
      </c>
    </row>
    <row r="16">
      <c r="A16" s="11">
        <v>45821.0</v>
      </c>
      <c r="B16" s="12" t="s">
        <v>84</v>
      </c>
      <c r="C16" s="13" t="s">
        <v>85</v>
      </c>
      <c r="D16" s="4">
        <v>3.0</v>
      </c>
      <c r="E16" s="4">
        <v>84.0</v>
      </c>
      <c r="F16" s="14">
        <v>27.0</v>
      </c>
      <c r="G16" s="12" t="s">
        <v>86</v>
      </c>
      <c r="H16" s="4">
        <v>34.0</v>
      </c>
      <c r="I16" s="4">
        <v>34.0</v>
      </c>
      <c r="J16" s="9">
        <f t="shared" si="1"/>
        <v>56</v>
      </c>
      <c r="K16" s="4" t="s">
        <v>87</v>
      </c>
    </row>
    <row r="17">
      <c r="A17" s="11">
        <v>45821.0</v>
      </c>
      <c r="B17" s="12" t="s">
        <v>84</v>
      </c>
      <c r="C17" s="13" t="s">
        <v>85</v>
      </c>
      <c r="D17" s="4">
        <v>3.0</v>
      </c>
      <c r="E17" s="4">
        <v>84.0</v>
      </c>
      <c r="F17" s="14">
        <v>27.0</v>
      </c>
      <c r="G17" s="12" t="s">
        <v>86</v>
      </c>
      <c r="H17" s="4">
        <v>34.0</v>
      </c>
      <c r="I17" s="4">
        <v>34.0</v>
      </c>
      <c r="J17" s="9">
        <f t="shared" si="1"/>
        <v>83</v>
      </c>
      <c r="K17" s="4" t="s">
        <v>87</v>
      </c>
    </row>
    <row r="18">
      <c r="A18" s="11">
        <v>45821.0</v>
      </c>
      <c r="B18" s="12" t="s">
        <v>84</v>
      </c>
      <c r="C18" s="13" t="s">
        <v>85</v>
      </c>
      <c r="D18" s="4">
        <v>3.0</v>
      </c>
      <c r="E18" s="4">
        <v>84.0</v>
      </c>
      <c r="F18" s="14">
        <v>27.0</v>
      </c>
      <c r="G18" s="12" t="s">
        <v>86</v>
      </c>
      <c r="H18" s="4">
        <v>34.0</v>
      </c>
      <c r="I18" s="4">
        <v>34.0</v>
      </c>
      <c r="J18" s="9">
        <f t="shared" si="1"/>
        <v>6</v>
      </c>
      <c r="K18" s="4" t="s">
        <v>87</v>
      </c>
    </row>
    <row r="19">
      <c r="A19" s="11">
        <v>45821.0</v>
      </c>
      <c r="B19" s="12" t="s">
        <v>84</v>
      </c>
      <c r="C19" s="13" t="s">
        <v>85</v>
      </c>
      <c r="D19" s="4">
        <v>3.0</v>
      </c>
      <c r="E19" s="4">
        <v>84.0</v>
      </c>
      <c r="F19" s="14">
        <v>27.0</v>
      </c>
      <c r="G19" s="12" t="s">
        <v>86</v>
      </c>
      <c r="H19" s="4">
        <v>34.0</v>
      </c>
      <c r="I19" s="4">
        <v>34.0</v>
      </c>
      <c r="J19" s="9">
        <f t="shared" si="1"/>
        <v>98</v>
      </c>
      <c r="K19" s="4" t="s">
        <v>87</v>
      </c>
    </row>
    <row r="20">
      <c r="A20" s="11">
        <v>45821.0</v>
      </c>
      <c r="B20" s="12" t="s">
        <v>84</v>
      </c>
      <c r="C20" s="13" t="s">
        <v>85</v>
      </c>
      <c r="D20" s="4">
        <v>4.0</v>
      </c>
      <c r="E20" s="4">
        <v>84.0</v>
      </c>
      <c r="F20" s="14">
        <v>27.0</v>
      </c>
      <c r="G20" s="12" t="s">
        <v>86</v>
      </c>
      <c r="H20" s="4">
        <v>31.0</v>
      </c>
      <c r="I20" s="4">
        <v>40.0</v>
      </c>
      <c r="J20" s="9">
        <f t="shared" si="1"/>
        <v>69</v>
      </c>
      <c r="K20" s="4" t="s">
        <v>87</v>
      </c>
    </row>
    <row r="21">
      <c r="A21" s="11">
        <v>45821.0</v>
      </c>
      <c r="B21" s="12" t="s">
        <v>84</v>
      </c>
      <c r="C21" s="13" t="s">
        <v>85</v>
      </c>
      <c r="D21" s="4">
        <v>4.0</v>
      </c>
      <c r="E21" s="4">
        <v>84.0</v>
      </c>
      <c r="F21" s="14">
        <v>27.0</v>
      </c>
      <c r="G21" s="12" t="s">
        <v>86</v>
      </c>
      <c r="H21" s="4">
        <v>31.0</v>
      </c>
      <c r="I21" s="4">
        <v>40.0</v>
      </c>
      <c r="J21" s="9">
        <f t="shared" si="1"/>
        <v>76</v>
      </c>
      <c r="K21" s="4" t="s">
        <v>87</v>
      </c>
    </row>
    <row r="22">
      <c r="A22" s="11">
        <v>45821.0</v>
      </c>
      <c r="B22" s="12" t="s">
        <v>84</v>
      </c>
      <c r="C22" s="13" t="s">
        <v>85</v>
      </c>
      <c r="D22" s="4">
        <v>4.0</v>
      </c>
      <c r="E22" s="4">
        <v>84.0</v>
      </c>
      <c r="F22" s="14">
        <v>27.0</v>
      </c>
      <c r="G22" s="12" t="s">
        <v>86</v>
      </c>
      <c r="H22" s="4">
        <v>31.0</v>
      </c>
      <c r="I22" s="4">
        <v>40.0</v>
      </c>
      <c r="J22" s="9">
        <f t="shared" si="1"/>
        <v>41</v>
      </c>
      <c r="K22" s="4" t="s">
        <v>87</v>
      </c>
    </row>
    <row r="23">
      <c r="A23" s="11">
        <v>45821.0</v>
      </c>
      <c r="B23" s="12" t="s">
        <v>84</v>
      </c>
      <c r="C23" s="13" t="s">
        <v>85</v>
      </c>
      <c r="D23" s="4">
        <v>4.0</v>
      </c>
      <c r="E23" s="4">
        <v>84.0</v>
      </c>
      <c r="F23" s="14">
        <v>27.0</v>
      </c>
      <c r="G23" s="12" t="s">
        <v>86</v>
      </c>
      <c r="H23" s="4">
        <v>31.0</v>
      </c>
      <c r="I23" s="4">
        <v>40.0</v>
      </c>
      <c r="J23" s="9">
        <f t="shared" si="1"/>
        <v>79</v>
      </c>
      <c r="K23" s="4" t="s">
        <v>87</v>
      </c>
    </row>
    <row r="24">
      <c r="A24" s="11">
        <v>45821.0</v>
      </c>
      <c r="B24" s="12" t="s">
        <v>84</v>
      </c>
      <c r="C24" s="13" t="s">
        <v>85</v>
      </c>
      <c r="D24" s="4">
        <v>4.0</v>
      </c>
      <c r="E24" s="4">
        <v>84.0</v>
      </c>
      <c r="F24" s="14">
        <v>27.0</v>
      </c>
      <c r="G24" s="12" t="s">
        <v>86</v>
      </c>
      <c r="H24" s="4">
        <v>31.0</v>
      </c>
      <c r="I24" s="4">
        <v>40.0</v>
      </c>
      <c r="J24" s="9">
        <f t="shared" si="1"/>
        <v>44</v>
      </c>
      <c r="K24" s="4" t="s">
        <v>87</v>
      </c>
    </row>
    <row r="25">
      <c r="A25" s="11">
        <v>45821.0</v>
      </c>
      <c r="B25" s="12" t="s">
        <v>84</v>
      </c>
      <c r="C25" s="13" t="s">
        <v>85</v>
      </c>
      <c r="D25" s="4">
        <v>4.0</v>
      </c>
      <c r="E25" s="4">
        <v>84.0</v>
      </c>
      <c r="F25" s="14">
        <v>27.0</v>
      </c>
      <c r="G25" s="12" t="s">
        <v>86</v>
      </c>
      <c r="H25" s="4">
        <v>31.0</v>
      </c>
      <c r="I25" s="4">
        <v>40.0</v>
      </c>
      <c r="J25" s="9">
        <f t="shared" si="1"/>
        <v>91</v>
      </c>
      <c r="K25" s="4" t="s">
        <v>87</v>
      </c>
    </row>
    <row r="26">
      <c r="A26" s="11">
        <v>45821.0</v>
      </c>
      <c r="B26" s="12" t="s">
        <v>84</v>
      </c>
      <c r="C26" s="13" t="s">
        <v>85</v>
      </c>
      <c r="D26" s="15">
        <v>5.0</v>
      </c>
      <c r="E26" s="4">
        <v>84.0</v>
      </c>
      <c r="F26" s="14">
        <v>27.0</v>
      </c>
      <c r="G26" s="12" t="s">
        <v>86</v>
      </c>
      <c r="H26" s="4">
        <v>37.0</v>
      </c>
      <c r="I26" s="4">
        <v>37.0</v>
      </c>
      <c r="J26" s="9">
        <f t="shared" si="1"/>
        <v>7</v>
      </c>
      <c r="K26" s="4" t="s">
        <v>87</v>
      </c>
    </row>
    <row r="27">
      <c r="A27" s="11">
        <v>45821.0</v>
      </c>
      <c r="B27" s="12" t="s">
        <v>84</v>
      </c>
      <c r="C27" s="13" t="s">
        <v>85</v>
      </c>
      <c r="D27" s="15">
        <v>5.0</v>
      </c>
      <c r="E27" s="4">
        <v>84.0</v>
      </c>
      <c r="F27" s="14">
        <v>27.0</v>
      </c>
      <c r="G27" s="12" t="s">
        <v>86</v>
      </c>
      <c r="H27" s="4">
        <v>37.0</v>
      </c>
      <c r="I27" s="4">
        <v>37.0</v>
      </c>
      <c r="J27" s="9">
        <f t="shared" si="1"/>
        <v>60</v>
      </c>
      <c r="K27" s="4" t="s">
        <v>87</v>
      </c>
    </row>
    <row r="28">
      <c r="A28" s="11">
        <v>45821.0</v>
      </c>
      <c r="B28" s="12" t="s">
        <v>84</v>
      </c>
      <c r="C28" s="13" t="s">
        <v>85</v>
      </c>
      <c r="D28" s="15">
        <v>5.0</v>
      </c>
      <c r="E28" s="4">
        <v>84.0</v>
      </c>
      <c r="F28" s="14">
        <v>27.0</v>
      </c>
      <c r="G28" s="12" t="s">
        <v>86</v>
      </c>
      <c r="H28" s="4">
        <v>37.0</v>
      </c>
      <c r="I28" s="4">
        <v>37.0</v>
      </c>
      <c r="J28" s="9">
        <f t="shared" si="1"/>
        <v>38</v>
      </c>
      <c r="K28" s="4" t="s">
        <v>87</v>
      </c>
    </row>
    <row r="29">
      <c r="A29" s="11">
        <v>45821.0</v>
      </c>
      <c r="B29" s="12" t="s">
        <v>84</v>
      </c>
      <c r="C29" s="13" t="s">
        <v>85</v>
      </c>
      <c r="D29" s="15">
        <v>5.0</v>
      </c>
      <c r="E29" s="4">
        <v>84.0</v>
      </c>
      <c r="F29" s="14">
        <v>27.0</v>
      </c>
      <c r="G29" s="12" t="s">
        <v>86</v>
      </c>
      <c r="H29" s="4">
        <v>37.0</v>
      </c>
      <c r="I29" s="4">
        <v>37.0</v>
      </c>
      <c r="J29" s="9">
        <f t="shared" si="1"/>
        <v>20</v>
      </c>
      <c r="K29" s="4" t="s">
        <v>87</v>
      </c>
    </row>
    <row r="30">
      <c r="A30" s="11">
        <v>45821.0</v>
      </c>
      <c r="B30" s="12" t="s">
        <v>84</v>
      </c>
      <c r="C30" s="13" t="s">
        <v>85</v>
      </c>
      <c r="D30" s="15">
        <v>5.0</v>
      </c>
      <c r="E30" s="4">
        <v>84.0</v>
      </c>
      <c r="F30" s="14">
        <v>27.0</v>
      </c>
      <c r="G30" s="12" t="s">
        <v>86</v>
      </c>
      <c r="H30" s="4">
        <v>37.0</v>
      </c>
      <c r="I30" s="4">
        <v>37.0</v>
      </c>
      <c r="J30" s="9">
        <f t="shared" si="1"/>
        <v>27</v>
      </c>
      <c r="K30" s="4" t="s">
        <v>87</v>
      </c>
    </row>
    <row r="31">
      <c r="A31" s="11">
        <v>45821.0</v>
      </c>
      <c r="B31" s="12" t="s">
        <v>84</v>
      </c>
      <c r="C31" s="13" t="s">
        <v>85</v>
      </c>
      <c r="D31" s="15">
        <v>5.0</v>
      </c>
      <c r="E31" s="4">
        <v>84.0</v>
      </c>
      <c r="F31" s="14">
        <v>27.0</v>
      </c>
      <c r="G31" s="12" t="s">
        <v>86</v>
      </c>
      <c r="H31" s="4">
        <v>37.0</v>
      </c>
      <c r="I31" s="4">
        <v>37.0</v>
      </c>
      <c r="J31" s="9">
        <f t="shared" si="1"/>
        <v>33</v>
      </c>
      <c r="K31" s="4" t="s">
        <v>87</v>
      </c>
    </row>
    <row r="32">
      <c r="A32" s="11">
        <v>45821.0</v>
      </c>
      <c r="B32" s="12" t="s">
        <v>84</v>
      </c>
      <c r="C32" s="13" t="s">
        <v>85</v>
      </c>
      <c r="D32" s="15">
        <v>6.0</v>
      </c>
      <c r="E32" s="4">
        <v>84.0</v>
      </c>
      <c r="F32" s="14">
        <v>27.0</v>
      </c>
      <c r="G32" s="12" t="s">
        <v>86</v>
      </c>
      <c r="H32" s="4">
        <v>40.0</v>
      </c>
      <c r="I32" s="4">
        <v>43.0</v>
      </c>
      <c r="J32" s="9">
        <f t="shared" si="1"/>
        <v>54</v>
      </c>
      <c r="K32" s="4" t="s">
        <v>87</v>
      </c>
    </row>
    <row r="33">
      <c r="A33" s="11">
        <v>45821.0</v>
      </c>
      <c r="B33" s="12" t="s">
        <v>84</v>
      </c>
      <c r="C33" s="13" t="s">
        <v>85</v>
      </c>
      <c r="D33" s="15">
        <v>6.0</v>
      </c>
      <c r="E33" s="4">
        <v>84.0</v>
      </c>
      <c r="F33" s="14">
        <v>27.0</v>
      </c>
      <c r="G33" s="12" t="s">
        <v>86</v>
      </c>
      <c r="H33" s="4">
        <v>40.0</v>
      </c>
      <c r="I33" s="4">
        <v>43.0</v>
      </c>
      <c r="J33" s="9">
        <f t="shared" si="1"/>
        <v>37</v>
      </c>
      <c r="K33" s="4" t="s">
        <v>87</v>
      </c>
    </row>
    <row r="34">
      <c r="A34" s="11">
        <v>45821.0</v>
      </c>
      <c r="B34" s="12" t="s">
        <v>84</v>
      </c>
      <c r="C34" s="13" t="s">
        <v>85</v>
      </c>
      <c r="D34" s="15">
        <v>6.0</v>
      </c>
      <c r="E34" s="4">
        <v>84.0</v>
      </c>
      <c r="F34" s="14">
        <v>27.0</v>
      </c>
      <c r="G34" s="12" t="s">
        <v>86</v>
      </c>
      <c r="H34" s="4">
        <v>40.0</v>
      </c>
      <c r="I34" s="4">
        <v>43.0</v>
      </c>
      <c r="J34" s="9">
        <f t="shared" si="1"/>
        <v>57</v>
      </c>
      <c r="K34" s="4" t="s">
        <v>87</v>
      </c>
    </row>
    <row r="35">
      <c r="A35" s="11">
        <v>45821.0</v>
      </c>
      <c r="B35" s="12" t="s">
        <v>84</v>
      </c>
      <c r="C35" s="13" t="s">
        <v>85</v>
      </c>
      <c r="D35" s="15">
        <v>6.0</v>
      </c>
      <c r="E35" s="4">
        <v>84.0</v>
      </c>
      <c r="F35" s="14">
        <v>27.0</v>
      </c>
      <c r="G35" s="12" t="s">
        <v>86</v>
      </c>
      <c r="H35" s="4">
        <v>40.0</v>
      </c>
      <c r="I35" s="4">
        <v>43.0</v>
      </c>
      <c r="J35" s="9">
        <f t="shared" si="1"/>
        <v>35</v>
      </c>
      <c r="K35" s="4" t="s">
        <v>87</v>
      </c>
    </row>
    <row r="36">
      <c r="A36" s="11">
        <v>45821.0</v>
      </c>
      <c r="B36" s="12" t="s">
        <v>84</v>
      </c>
      <c r="C36" s="13" t="s">
        <v>85</v>
      </c>
      <c r="D36" s="15">
        <v>6.31818181818182</v>
      </c>
      <c r="E36" s="4">
        <v>84.0</v>
      </c>
      <c r="F36" s="14">
        <v>27.0</v>
      </c>
      <c r="G36" s="12" t="s">
        <v>86</v>
      </c>
      <c r="H36" s="4">
        <v>40.0</v>
      </c>
      <c r="I36" s="4">
        <v>43.0</v>
      </c>
      <c r="J36" s="9">
        <f t="shared" si="1"/>
        <v>23</v>
      </c>
      <c r="K36" s="4" t="s">
        <v>87</v>
      </c>
    </row>
    <row r="37">
      <c r="A37" s="11">
        <v>45821.0</v>
      </c>
      <c r="B37" s="12" t="s">
        <v>84</v>
      </c>
      <c r="C37" s="13" t="s">
        <v>85</v>
      </c>
      <c r="D37" s="15">
        <v>6.44405594405595</v>
      </c>
      <c r="E37" s="4">
        <v>84.0</v>
      </c>
      <c r="F37" s="14">
        <v>27.0</v>
      </c>
      <c r="G37" s="12" t="s">
        <v>86</v>
      </c>
      <c r="H37" s="4">
        <v>40.0</v>
      </c>
      <c r="I37" s="4">
        <v>43.0</v>
      </c>
      <c r="J37" s="9">
        <f t="shared" si="1"/>
        <v>43</v>
      </c>
      <c r="K37" s="4" t="s">
        <v>87</v>
      </c>
    </row>
    <row r="38">
      <c r="A38" s="11">
        <v>45821.0</v>
      </c>
      <c r="B38" s="12" t="s">
        <v>84</v>
      </c>
      <c r="C38" s="13" t="s">
        <v>85</v>
      </c>
      <c r="D38" s="15">
        <v>6.56993006993007</v>
      </c>
      <c r="E38" s="4">
        <v>84.0</v>
      </c>
      <c r="F38" s="14">
        <v>27.0</v>
      </c>
      <c r="G38" s="12" t="s">
        <v>86</v>
      </c>
      <c r="H38" s="4">
        <v>32.0</v>
      </c>
      <c r="I38" s="4">
        <v>39.0</v>
      </c>
      <c r="J38" s="9">
        <f t="shared" si="1"/>
        <v>34</v>
      </c>
      <c r="K38" s="4" t="s">
        <v>87</v>
      </c>
    </row>
    <row r="39">
      <c r="A39" s="11">
        <v>45821.0</v>
      </c>
      <c r="B39" s="12" t="s">
        <v>84</v>
      </c>
      <c r="C39" s="13" t="s">
        <v>85</v>
      </c>
      <c r="D39" s="15">
        <v>6.6958041958042</v>
      </c>
      <c r="E39" s="4">
        <v>84.0</v>
      </c>
      <c r="F39" s="14">
        <v>27.0</v>
      </c>
      <c r="G39" s="12" t="s">
        <v>86</v>
      </c>
      <c r="H39" s="4">
        <v>32.0</v>
      </c>
      <c r="I39" s="4">
        <v>39.0</v>
      </c>
      <c r="J39" s="9">
        <f t="shared" si="1"/>
        <v>16</v>
      </c>
      <c r="K39" s="4" t="s">
        <v>87</v>
      </c>
    </row>
    <row r="40">
      <c r="A40" s="11">
        <v>45821.0</v>
      </c>
      <c r="B40" s="12" t="s">
        <v>84</v>
      </c>
      <c r="C40" s="13" t="s">
        <v>85</v>
      </c>
      <c r="D40" s="15">
        <v>6.82167832167833</v>
      </c>
      <c r="E40" s="4">
        <v>84.0</v>
      </c>
      <c r="F40" s="14">
        <v>27.0</v>
      </c>
      <c r="G40" s="12" t="s">
        <v>86</v>
      </c>
      <c r="H40" s="4">
        <v>32.0</v>
      </c>
      <c r="I40" s="4">
        <v>39.0</v>
      </c>
      <c r="J40" s="9">
        <f t="shared" si="1"/>
        <v>95</v>
      </c>
      <c r="K40" s="4" t="s">
        <v>87</v>
      </c>
    </row>
    <row r="41">
      <c r="A41" s="11">
        <v>45821.0</v>
      </c>
      <c r="B41" s="12" t="s">
        <v>84</v>
      </c>
      <c r="C41" s="13" t="s">
        <v>85</v>
      </c>
      <c r="D41" s="15">
        <v>6.94755244755245</v>
      </c>
      <c r="E41" s="4">
        <v>84.0</v>
      </c>
      <c r="F41" s="14">
        <v>27.0</v>
      </c>
      <c r="G41" s="12" t="s">
        <v>86</v>
      </c>
      <c r="H41" s="4">
        <v>32.0</v>
      </c>
      <c r="I41" s="4">
        <v>39.0</v>
      </c>
      <c r="J41" s="9">
        <f t="shared" si="1"/>
        <v>47</v>
      </c>
      <c r="K41" s="4" t="s">
        <v>87</v>
      </c>
    </row>
    <row r="42">
      <c r="A42" s="11">
        <v>45821.0</v>
      </c>
      <c r="B42" s="12" t="s">
        <v>84</v>
      </c>
      <c r="C42" s="13" t="s">
        <v>85</v>
      </c>
      <c r="D42" s="15">
        <v>7.07342657342658</v>
      </c>
      <c r="E42" s="4">
        <v>84.0</v>
      </c>
      <c r="F42" s="14">
        <v>27.0</v>
      </c>
      <c r="G42" s="12" t="s">
        <v>86</v>
      </c>
      <c r="H42" s="4">
        <v>32.0</v>
      </c>
      <c r="I42" s="4">
        <v>39.0</v>
      </c>
      <c r="J42" s="9">
        <f t="shared" si="1"/>
        <v>87</v>
      </c>
      <c r="K42" s="4" t="s">
        <v>87</v>
      </c>
    </row>
    <row r="43">
      <c r="A43" s="11">
        <v>45821.0</v>
      </c>
      <c r="B43" s="12" t="s">
        <v>84</v>
      </c>
      <c r="C43" s="13" t="s">
        <v>85</v>
      </c>
      <c r="D43" s="15">
        <v>7.1993006993007</v>
      </c>
      <c r="E43" s="4">
        <v>84.0</v>
      </c>
      <c r="F43" s="14">
        <v>27.0</v>
      </c>
      <c r="G43" s="12" t="s">
        <v>86</v>
      </c>
      <c r="H43" s="4">
        <v>32.0</v>
      </c>
      <c r="I43" s="4">
        <v>39.0</v>
      </c>
      <c r="J43" s="9">
        <f t="shared" si="1"/>
        <v>39</v>
      </c>
      <c r="K43" s="4" t="s">
        <v>87</v>
      </c>
    </row>
    <row r="44">
      <c r="A44" s="11">
        <v>45821.0</v>
      </c>
      <c r="B44" s="12" t="s">
        <v>84</v>
      </c>
      <c r="C44" s="13" t="s">
        <v>85</v>
      </c>
      <c r="D44" s="15">
        <v>7.57692307692308</v>
      </c>
      <c r="E44" s="4">
        <v>84.0</v>
      </c>
      <c r="F44" s="14">
        <v>27.0</v>
      </c>
      <c r="G44" s="12" t="s">
        <v>86</v>
      </c>
      <c r="H44" s="4">
        <v>37.0</v>
      </c>
      <c r="I44" s="4">
        <v>41.0</v>
      </c>
      <c r="J44" s="9">
        <f t="shared" si="1"/>
        <v>89</v>
      </c>
      <c r="K44" s="4" t="s">
        <v>87</v>
      </c>
    </row>
    <row r="45">
      <c r="A45" s="11">
        <v>45821.0</v>
      </c>
      <c r="B45" s="12" t="s">
        <v>84</v>
      </c>
      <c r="C45" s="13" t="s">
        <v>85</v>
      </c>
      <c r="D45" s="15">
        <v>7.70279720279721</v>
      </c>
      <c r="E45" s="4">
        <v>84.0</v>
      </c>
      <c r="F45" s="14">
        <v>27.0</v>
      </c>
      <c r="G45" s="12" t="s">
        <v>86</v>
      </c>
      <c r="H45" s="4">
        <v>37.0</v>
      </c>
      <c r="I45" s="4">
        <v>41.0</v>
      </c>
      <c r="J45" s="9">
        <f t="shared" si="1"/>
        <v>84</v>
      </c>
      <c r="K45" s="4" t="s">
        <v>87</v>
      </c>
    </row>
    <row r="46">
      <c r="A46" s="11">
        <v>45821.0</v>
      </c>
      <c r="B46" s="12" t="s">
        <v>84</v>
      </c>
      <c r="C46" s="13" t="s">
        <v>85</v>
      </c>
      <c r="D46" s="15">
        <v>7.82867132867134</v>
      </c>
      <c r="E46" s="4">
        <v>84.0</v>
      </c>
      <c r="F46" s="14">
        <v>27.0</v>
      </c>
      <c r="G46" s="12" t="s">
        <v>86</v>
      </c>
      <c r="H46" s="4">
        <v>37.0</v>
      </c>
      <c r="I46" s="4">
        <v>41.0</v>
      </c>
      <c r="J46" s="9">
        <f t="shared" si="1"/>
        <v>18</v>
      </c>
      <c r="K46" s="4" t="s">
        <v>87</v>
      </c>
    </row>
    <row r="47">
      <c r="A47" s="11">
        <v>45821.0</v>
      </c>
      <c r="B47" s="12" t="s">
        <v>84</v>
      </c>
      <c r="C47" s="13" t="s">
        <v>85</v>
      </c>
      <c r="D47" s="15">
        <v>7.95454545454547</v>
      </c>
      <c r="E47" s="4">
        <v>84.0</v>
      </c>
      <c r="F47" s="14">
        <v>27.0</v>
      </c>
      <c r="G47" s="12" t="s">
        <v>86</v>
      </c>
      <c r="H47" s="4">
        <v>37.0</v>
      </c>
      <c r="I47" s="4">
        <v>41.0</v>
      </c>
      <c r="J47" s="9">
        <f t="shared" si="1"/>
        <v>39</v>
      </c>
      <c r="K47" s="4" t="s">
        <v>87</v>
      </c>
    </row>
    <row r="48">
      <c r="A48" s="11">
        <v>45821.0</v>
      </c>
      <c r="B48" s="12" t="s">
        <v>84</v>
      </c>
      <c r="C48" s="13" t="s">
        <v>85</v>
      </c>
      <c r="D48" s="15">
        <v>8.0804195804196</v>
      </c>
      <c r="E48" s="4">
        <v>84.0</v>
      </c>
      <c r="F48" s="14">
        <v>27.0</v>
      </c>
      <c r="G48" s="12" t="s">
        <v>86</v>
      </c>
      <c r="H48" s="4">
        <v>37.0</v>
      </c>
      <c r="I48" s="4">
        <v>41.0</v>
      </c>
      <c r="J48" s="9">
        <f t="shared" si="1"/>
        <v>66</v>
      </c>
      <c r="K48" s="4" t="s">
        <v>87</v>
      </c>
    </row>
    <row r="49">
      <c r="A49" s="11">
        <v>45821.0</v>
      </c>
      <c r="B49" s="12" t="s">
        <v>84</v>
      </c>
      <c r="C49" s="13" t="s">
        <v>85</v>
      </c>
      <c r="D49" s="15">
        <v>8.20629370629373</v>
      </c>
      <c r="E49" s="4">
        <v>84.0</v>
      </c>
      <c r="F49" s="14">
        <v>27.0</v>
      </c>
      <c r="G49" s="12" t="s">
        <v>86</v>
      </c>
      <c r="H49" s="4">
        <v>37.0</v>
      </c>
      <c r="I49" s="4">
        <v>41.0</v>
      </c>
      <c r="J49" s="9">
        <f t="shared" si="1"/>
        <v>17</v>
      </c>
      <c r="K49" s="4" t="s">
        <v>87</v>
      </c>
    </row>
    <row r="50">
      <c r="A50" s="11">
        <v>45821.0</v>
      </c>
      <c r="B50" s="12" t="s">
        <v>84</v>
      </c>
      <c r="C50" s="13" t="s">
        <v>85</v>
      </c>
      <c r="D50" s="4">
        <v>9.0</v>
      </c>
      <c r="E50" s="4">
        <v>84.0</v>
      </c>
      <c r="F50" s="14">
        <v>27.0</v>
      </c>
      <c r="G50" s="12" t="s">
        <v>86</v>
      </c>
      <c r="H50" s="16">
        <v>30.0</v>
      </c>
      <c r="I50" s="16">
        <v>40.0</v>
      </c>
      <c r="J50" s="9">
        <f t="shared" si="1"/>
        <v>52</v>
      </c>
      <c r="K50" s="4" t="s">
        <v>87</v>
      </c>
    </row>
    <row r="51">
      <c r="A51" s="11">
        <v>45821.0</v>
      </c>
      <c r="B51" s="12" t="s">
        <v>84</v>
      </c>
      <c r="C51" s="13" t="s">
        <v>85</v>
      </c>
      <c r="D51" s="4">
        <v>9.0</v>
      </c>
      <c r="E51" s="4">
        <v>84.0</v>
      </c>
      <c r="F51" s="14">
        <v>27.0</v>
      </c>
      <c r="G51" s="12" t="s">
        <v>86</v>
      </c>
      <c r="H51" s="16">
        <v>30.0</v>
      </c>
      <c r="I51" s="16">
        <v>40.0</v>
      </c>
      <c r="J51" s="9">
        <f t="shared" si="1"/>
        <v>6</v>
      </c>
      <c r="K51" s="4" t="s">
        <v>87</v>
      </c>
    </row>
    <row r="52">
      <c r="A52" s="11">
        <v>45821.0</v>
      </c>
      <c r="B52" s="12" t="s">
        <v>84</v>
      </c>
      <c r="C52" s="13" t="s">
        <v>85</v>
      </c>
      <c r="D52" s="4">
        <v>9.0</v>
      </c>
      <c r="E52" s="4">
        <v>84.0</v>
      </c>
      <c r="F52" s="14">
        <v>27.0</v>
      </c>
      <c r="G52" s="12" t="s">
        <v>86</v>
      </c>
      <c r="H52" s="16">
        <v>30.0</v>
      </c>
      <c r="I52" s="16">
        <v>40.0</v>
      </c>
      <c r="J52" s="9">
        <f t="shared" si="1"/>
        <v>97</v>
      </c>
      <c r="K52" s="4" t="s">
        <v>87</v>
      </c>
    </row>
    <row r="53">
      <c r="A53" s="11">
        <v>45821.0</v>
      </c>
      <c r="B53" s="12" t="s">
        <v>84</v>
      </c>
      <c r="C53" s="13" t="s">
        <v>85</v>
      </c>
      <c r="D53" s="4">
        <v>9.0</v>
      </c>
      <c r="E53" s="4">
        <v>84.0</v>
      </c>
      <c r="F53" s="14">
        <v>27.0</v>
      </c>
      <c r="G53" s="12" t="s">
        <v>86</v>
      </c>
      <c r="H53" s="16">
        <v>30.0</v>
      </c>
      <c r="I53" s="16">
        <v>40.0</v>
      </c>
      <c r="J53" s="9">
        <f t="shared" si="1"/>
        <v>80</v>
      </c>
      <c r="K53" s="4" t="s">
        <v>87</v>
      </c>
    </row>
    <row r="54">
      <c r="A54" s="11">
        <v>45821.0</v>
      </c>
      <c r="B54" s="12" t="s">
        <v>84</v>
      </c>
      <c r="C54" s="13" t="s">
        <v>85</v>
      </c>
      <c r="D54" s="4">
        <v>9.0</v>
      </c>
      <c r="E54" s="4">
        <v>84.0</v>
      </c>
      <c r="F54" s="14">
        <v>27.0</v>
      </c>
      <c r="G54" s="12" t="s">
        <v>86</v>
      </c>
      <c r="H54" s="16">
        <v>30.0</v>
      </c>
      <c r="I54" s="16">
        <v>40.0</v>
      </c>
      <c r="J54" s="9">
        <f t="shared" si="1"/>
        <v>12</v>
      </c>
      <c r="K54" s="4" t="s">
        <v>87</v>
      </c>
    </row>
    <row r="55">
      <c r="A55" s="11">
        <v>45821.0</v>
      </c>
      <c r="B55" s="12" t="s">
        <v>84</v>
      </c>
      <c r="C55" s="13" t="s">
        <v>85</v>
      </c>
      <c r="D55" s="4">
        <v>9.0</v>
      </c>
      <c r="E55" s="4">
        <v>84.0</v>
      </c>
      <c r="F55" s="14">
        <v>27.0</v>
      </c>
      <c r="G55" s="12" t="s">
        <v>86</v>
      </c>
      <c r="H55" s="16">
        <v>30.0</v>
      </c>
      <c r="I55" s="16">
        <v>40.0</v>
      </c>
      <c r="J55" s="9">
        <f t="shared" si="1"/>
        <v>13</v>
      </c>
      <c r="K55" s="4" t="s">
        <v>87</v>
      </c>
    </row>
    <row r="56">
      <c r="A56" s="11">
        <v>45821.0</v>
      </c>
      <c r="B56" s="12" t="s">
        <v>84</v>
      </c>
      <c r="C56" s="13" t="s">
        <v>85</v>
      </c>
      <c r="D56" s="4">
        <v>10.0</v>
      </c>
      <c r="E56" s="4">
        <v>84.0</v>
      </c>
      <c r="F56" s="14">
        <v>27.0</v>
      </c>
      <c r="G56" s="12" t="s">
        <v>86</v>
      </c>
      <c r="H56" s="16">
        <v>35.0</v>
      </c>
      <c r="I56" s="16">
        <v>42.0</v>
      </c>
      <c r="J56" s="9">
        <f t="shared" si="1"/>
        <v>39</v>
      </c>
      <c r="K56" s="4" t="s">
        <v>87</v>
      </c>
    </row>
    <row r="57">
      <c r="A57" s="11">
        <v>45821.0</v>
      </c>
      <c r="B57" s="12" t="s">
        <v>84</v>
      </c>
      <c r="C57" s="13" t="s">
        <v>85</v>
      </c>
      <c r="D57" s="4">
        <v>10.0</v>
      </c>
      <c r="E57" s="4">
        <v>84.0</v>
      </c>
      <c r="F57" s="14">
        <v>27.0</v>
      </c>
      <c r="G57" s="12" t="s">
        <v>86</v>
      </c>
      <c r="H57" s="16">
        <v>35.0</v>
      </c>
      <c r="I57" s="16">
        <v>42.0</v>
      </c>
      <c r="J57" s="9">
        <f t="shared" si="1"/>
        <v>90</v>
      </c>
      <c r="K57" s="4" t="s">
        <v>87</v>
      </c>
    </row>
    <row r="58">
      <c r="A58" s="11">
        <v>45821.0</v>
      </c>
      <c r="B58" s="12" t="s">
        <v>84</v>
      </c>
      <c r="C58" s="13" t="s">
        <v>85</v>
      </c>
      <c r="D58" s="4">
        <v>10.0</v>
      </c>
      <c r="E58" s="4">
        <v>84.0</v>
      </c>
      <c r="F58" s="14">
        <v>27.0</v>
      </c>
      <c r="G58" s="12" t="s">
        <v>86</v>
      </c>
      <c r="H58" s="16">
        <v>35.0</v>
      </c>
      <c r="I58" s="16">
        <v>42.0</v>
      </c>
      <c r="J58" s="9">
        <f t="shared" si="1"/>
        <v>21</v>
      </c>
      <c r="K58" s="4" t="s">
        <v>87</v>
      </c>
    </row>
    <row r="59">
      <c r="A59" s="11">
        <v>45821.0</v>
      </c>
      <c r="B59" s="12" t="s">
        <v>84</v>
      </c>
      <c r="C59" s="17" t="s">
        <v>88</v>
      </c>
      <c r="D59" s="4">
        <v>10.0</v>
      </c>
      <c r="E59" s="4">
        <v>84.0</v>
      </c>
      <c r="F59" s="14">
        <v>27.0</v>
      </c>
      <c r="G59" s="12" t="s">
        <v>86</v>
      </c>
      <c r="H59" s="16">
        <v>35.0</v>
      </c>
      <c r="I59" s="16">
        <v>42.0</v>
      </c>
      <c r="J59" s="9">
        <f t="shared" si="1"/>
        <v>2</v>
      </c>
      <c r="K59" s="4" t="s">
        <v>87</v>
      </c>
    </row>
    <row r="60">
      <c r="A60" s="11">
        <v>45821.0</v>
      </c>
      <c r="B60" s="12" t="s">
        <v>84</v>
      </c>
      <c r="C60" s="13" t="s">
        <v>85</v>
      </c>
      <c r="D60" s="4">
        <v>10.0</v>
      </c>
      <c r="E60" s="4">
        <v>84.0</v>
      </c>
      <c r="F60" s="14">
        <v>27.0</v>
      </c>
      <c r="G60" s="12" t="s">
        <v>86</v>
      </c>
      <c r="H60" s="16">
        <v>35.0</v>
      </c>
      <c r="I60" s="16">
        <v>42.0</v>
      </c>
      <c r="J60" s="9">
        <f t="shared" si="1"/>
        <v>3</v>
      </c>
      <c r="K60" s="4" t="s">
        <v>87</v>
      </c>
    </row>
    <row r="61">
      <c r="A61" s="11">
        <v>45822.0</v>
      </c>
      <c r="B61" s="12" t="s">
        <v>84</v>
      </c>
      <c r="C61" s="13" t="s">
        <v>89</v>
      </c>
      <c r="D61" s="4">
        <v>10.0</v>
      </c>
      <c r="E61" s="4">
        <v>84.0</v>
      </c>
      <c r="F61" s="14">
        <v>27.0</v>
      </c>
      <c r="G61" s="12" t="s">
        <v>86</v>
      </c>
      <c r="H61" s="16">
        <v>35.0</v>
      </c>
      <c r="I61" s="16">
        <v>42.0</v>
      </c>
      <c r="J61" s="9">
        <f t="shared" si="1"/>
        <v>65</v>
      </c>
      <c r="K61" s="4" t="s">
        <v>87</v>
      </c>
    </row>
  </sheetData>
  <drawing r:id="rId1"/>
</worksheet>
</file>